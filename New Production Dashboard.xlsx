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https://d.docs.live.net/CADD3106D8723DFF/Documents/"/>
    </mc:Choice>
  </mc:AlternateContent>
  <xr:revisionPtr revIDLastSave="96" documentId="8_{D6D70791-A2DC-400E-88AA-A0574D3CEB21}" xr6:coauthVersionLast="47" xr6:coauthVersionMax="47" xr10:uidLastSave="{1CDA0547-9CB0-45F8-B71B-4906A0F40BAF}"/>
  <bookViews>
    <workbookView xWindow="-108" yWindow="-108" windowWidth="23256" windowHeight="13176" xr2:uid="{00000000-000D-0000-FFFF-FFFF00000000}"/>
  </bookViews>
  <sheets>
    <sheet name="Pivot1" sheetId="2" r:id="rId1"/>
    <sheet name="Pivot2" sheetId="3" r:id="rId2"/>
    <sheet name="Pivot3" sheetId="4" r:id="rId3"/>
    <sheet name="Pivot4" sheetId="5" r:id="rId4"/>
    <sheet name="Dashboard" sheetId="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<sst xmlns="http://schemas.openxmlformats.org/spreadsheetml/2006/main" count="537" uniqueCount="53">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</sst>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 #,##0_ ;_ * \-#,##0_ ;_ * &quot;-&quot;??_ ;_ @_ "/>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43">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6B0637D6-0878-489C-874E-DE89E9DB7CED}"/>
  </tableStyles>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[Excel^MDashboard^M2^M-^MCopy.xlsx]Pivot1!PivotTable1</c:name>
    <c:fmtId val="0"/>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solidFill>
                  <a:schemeClr val="tx1"/>
                </a:solidFill>
              </a:rPr>
              <a:t>Production</a:t>
            </a:r>
            <a:r>
              <a:rPr lang="en-US" b="1" i="1" u="sng" baseline="0"/>
              <a:t> </a:t>
            </a:r>
            <a:r>
              <a:rPr lang="en-US" b="1" i="1" u="sng" baseline="0">
                <a:solidFill>
                  <a:schemeClr val="tx1"/>
                </a:solidFill>
              </a:rPr>
              <a:t>Cost</a:t>
            </a:r>
            <a:endParaRPr lang="en-US" b="1" i="1" u="sng">
              <a:solidFill>
                <a:schemeClr val="tx1"/>
              </a:solidFill>
            </a:endParaRPr>
          </a:p>
        </c:rich>
      </c:tx>
      <c:layout>
        <c:manualLayout>
          <c:xMode val="edge"/>
          <c:yMode val="edge"/>
          <c:x val="0.40492609303986815"/>
          <c:y val="1.8083182640144666E-2"/>
        </c:manualLayout>
      </c:layout>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solidFill>
              <a:srgbClr val="FF0000"/>
            </a:soli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F2B7-4B2B-9BBE-438FCA70A51A}"/>
            </c:ext>
          </c:extLst>
        </c:ser>
        <c:dLbls>
          <c:showLegendKey val="0"/>
          <c:showVal val="0"/>
          <c:showCatName val="0"/>
          <c:showSerName val="0"/>
          <c:showPercent val="0"/>
          <c:showBubbleSize val="0"/>
        </c:dLbls>
        <c:gapWidth val="219"/>
        <c:shape val="box"/>
        <c:axId val="533020584"/>
        <c:axId val="533017344"/>
        <c:axId val="0"/>
      </c:bar3DChart>
      <c:catAx>
        <c:axId val="533020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3017344"/>
        <c:crosses val="autoZero"/>
        <c:auto val="1"/>
        <c:lblAlgn val="ctr"/>
        <c:lblOffset val="100"/>
        <c:noMultiLvlLbl val="0"/>
      </c:catAx>
      <c:valAx>
        <c:axId val="533017344"/>
        <c:scaling>
          <c:orientation val="minMax"/>
        </c:scaling>
        <c:delete val="0"/>
        <c:axPos val="l"/>
        <c:majorGridlines>
          <c:spPr>
            <a:ln w="9525" cap="flat" cmpd="sng" algn="ctr">
              <a:solidFill>
                <a:schemeClr val="tx1"/>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3020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a:t>
            </a:r>
            <a:r>
              <a:rPr lang="en-US" b="1" i="1" u="sng" baseline="0"/>
              <a:t> of Tasks By Manager</a:t>
            </a:r>
          </a:p>
          <a:p>
            <a:pPr>
              <a:defRPr/>
            </a:pP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Pivot2!$B$4:$B$14</c:f>
              <c:numCache>
                <c:formatCode>General</c:formatCode>
                <c:ptCount val="10"/>
                <c:pt idx="0">
                  <c:v>719</c:v>
                </c:pt>
                <c:pt idx="1">
                  <c:v>235</c:v>
                </c:pt>
                <c:pt idx="2">
                  <c:v>373</c:v>
                </c:pt>
                <c:pt idx="3">
                  <c:v>292</c:v>
                </c:pt>
                <c:pt idx="4">
                  <c:v>1164</c:v>
                </c:pt>
                <c:pt idx="5">
                  <c:v>815</c:v>
                </c:pt>
                <c:pt idx="6">
                  <c:v>466</c:v>
                </c:pt>
                <c:pt idx="7">
                  <c:v>730</c:v>
                </c:pt>
                <c:pt idx="8">
                  <c:v>2190</c:v>
                </c:pt>
                <c:pt idx="9">
                  <c:v>276</c:v>
                </c:pt>
              </c:numCache>
            </c:numRef>
          </c:val>
          <c:extLst>
            <c:ext xmlns:c16="http://schemas.microsoft.com/office/drawing/2014/chart" uri="{C3380CC4-5D6E-409C-BE32-E72D297353CC}">
              <c16:uniqueId val="{00000000-DD26-449A-963E-AD62D144AE8C}"/>
            </c:ext>
          </c:extLst>
        </c:ser>
        <c:dLbls>
          <c:showLegendKey val="0"/>
          <c:showVal val="1"/>
          <c:showCatName val="0"/>
          <c:showSerName val="0"/>
          <c:showPercent val="0"/>
          <c:showBubbleSize val="0"/>
        </c:dLbls>
        <c:gapWidth val="150"/>
        <c:shape val="box"/>
        <c:axId val="614522912"/>
        <c:axId val="614520032"/>
        <c:axId val="0"/>
      </c:bar3DChart>
      <c:catAx>
        <c:axId val="614522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4520032"/>
        <c:crosses val="autoZero"/>
        <c:auto val="1"/>
        <c:lblAlgn val="ctr"/>
        <c:lblOffset val="100"/>
        <c:noMultiLvlLbl val="0"/>
      </c:catAx>
      <c:valAx>
        <c:axId val="614520032"/>
        <c:scaling>
          <c:orientation val="minMax"/>
        </c:scaling>
        <c:delete val="1"/>
        <c:axPos val="b"/>
        <c:numFmt formatCode="General" sourceLinked="1"/>
        <c:majorTickMark val="none"/>
        <c:minorTickMark val="none"/>
        <c:tickLblPos val="nextTo"/>
        <c:crossAx val="6145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[Excel^MDashboard^M2^M-^MCopy.xlsx]Pivot3!PivotTable3</c:name>
    <c:fmtId val="3"/>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Total Unit Produced</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rgbClr val="FF0000"/>
            </a:solidFill>
            <a:ln>
              <a:noFill/>
            </a:ln>
            <a:effectLst/>
            <a:sp3d/>
          </c:spPr>
          <c:cat>
            <c:multiLvlStrRef>
              <c:f>Pivot3!$A$4:$A$19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3E8-41B0-8319-D4499AE3E4D6}"/>
            </c:ext>
          </c:extLst>
        </c:ser>
        <c:dLbls>
          <c:showLegendKey val="0"/>
          <c:showVal val="0"/>
          <c:showCatName val="0"/>
          <c:showSerName val="0"/>
          <c:showPercent val="0"/>
          <c:showBubbleSize val="0"/>
        </c:dLbls>
        <c:axId val="628069016"/>
        <c:axId val="628066496"/>
        <c:axId val="716722152"/>
      </c:line3DChart>
      <c:catAx>
        <c:axId val="628069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8066496"/>
        <c:crosses val="autoZero"/>
        <c:auto val="1"/>
        <c:lblAlgn val="ctr"/>
        <c:lblOffset val="100"/>
        <c:noMultiLvlLbl val="0"/>
      </c:catAx>
      <c:valAx>
        <c:axId val="62806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8069016"/>
        <c:crosses val="autoZero"/>
        <c:crossBetween val="between"/>
      </c:valAx>
      <c:serAx>
        <c:axId val="7167221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664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[Excel^MDashboard^M2^M-^MCopy.xlsx]Pivot4!PivotTable4</c:name>
    <c:fmtId val="2"/>
  </c:pivotSource>
  <c:chart>
    <c:title>
      <c:tx>
        <c:rich>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r>
              <a:rPr lang="en-US" b="1" i="1" u="sng"/>
              <a:t>Average</a:t>
            </a:r>
            <a:r>
              <a:rPr lang="en-US" b="1" i="1" u="sng" baseline="0"/>
              <a:t> Production Cost by Product Type</a:t>
            </a:r>
            <a:endParaRPr lang="en-US" b="1" i="1" u="sng"/>
          </a:p>
        </c:rich>
      </c:tx>
      <c:layout>
        <c:manualLayout>
          <c:xMode val="edge"/>
          <c:yMode val="edge"/>
          <c:x val="0.29492172301991665"/>
          <c:y val="4.8646640119248595E-2"/>
        </c:manualLayout>
      </c:layout>
      <c:overlay val="0"/>
      <c:spPr>
        <a:noFill/>
        <a:ln>
          <a:noFill/>
        </a:ln>
        <a:effectLst/>
      </c:spPr>
      <c:txPr>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626-4BFD-B735-D786E2BCF61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[Excel^MDashboard^M2^M-^MCopy.xlsx]Pivot1!PivotTable1</c:name>
    <c:fmtId val="2"/>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solidFill>
                  <a:schemeClr val="tx1"/>
                </a:solidFill>
              </a:rPr>
              <a:t>Production</a:t>
            </a:r>
            <a:r>
              <a:rPr lang="en-US" b="1" i="1" u="sng" baseline="0"/>
              <a:t> </a:t>
            </a:r>
            <a:r>
              <a:rPr lang="en-US" b="1" i="1" u="sng" baseline="0">
                <a:solidFill>
                  <a:schemeClr val="tx1"/>
                </a:solidFill>
              </a:rPr>
              <a:t>Cost</a:t>
            </a:r>
            <a:endParaRPr lang="en-US" b="1" i="1" u="sng">
              <a:solidFill>
                <a:schemeClr val="tx1"/>
              </a:solidFill>
            </a:endParaRPr>
          </a:p>
        </c:rich>
      </c:tx>
      <c:layout>
        <c:manualLayout>
          <c:xMode val="edge"/>
          <c:yMode val="edge"/>
          <c:x val="0.40492609303986815"/>
          <c:y val="1.8083182640144666E-2"/>
        </c:manualLayout>
      </c:layout>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FF000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80168567027138"/>
          <c:y val="0.20991303325890234"/>
          <c:w val="0.86008201716909072"/>
          <c:h val="0.6903274963763858"/>
        </c:manualLayout>
      </c:layout>
      <c:bar3DChart>
        <c:barDir val="col"/>
        <c:grouping val="clustered"/>
        <c:varyColors val="0"/>
        <c:ser>
          <c:idx val="0"/>
          <c:order val="0"/>
          <c:tx>
            <c:strRef>
              <c:f>Pivot1!$B$3</c:f>
              <c:strCache>
                <c:ptCount val="1"/>
                <c:pt idx="0">
                  <c:v>Total</c:v>
                </c:pt>
              </c:strCache>
            </c:strRef>
          </c:tx>
          <c:spPr>
            <a:solidFill>
              <a:srgbClr val="FF0000"/>
            </a:soli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426D-408E-BD5D-13577AC57BDD}"/>
            </c:ext>
          </c:extLst>
        </c:ser>
        <c:dLbls>
          <c:showLegendKey val="0"/>
          <c:showVal val="0"/>
          <c:showCatName val="0"/>
          <c:showSerName val="0"/>
          <c:showPercent val="0"/>
          <c:showBubbleSize val="0"/>
        </c:dLbls>
        <c:gapWidth val="219"/>
        <c:shape val="box"/>
        <c:axId val="533020584"/>
        <c:axId val="533017344"/>
        <c:axId val="0"/>
      </c:bar3DChart>
      <c:catAx>
        <c:axId val="533020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3017344"/>
        <c:crosses val="autoZero"/>
        <c:auto val="1"/>
        <c:lblAlgn val="ctr"/>
        <c:lblOffset val="100"/>
        <c:noMultiLvlLbl val="0"/>
      </c:catAx>
      <c:valAx>
        <c:axId val="533017344"/>
        <c:scaling>
          <c:orientation val="minMax"/>
        </c:scaling>
        <c:delete val="0"/>
        <c:axPos val="l"/>
        <c:majorGridlines>
          <c:spPr>
            <a:ln w="9525" cap="flat" cmpd="sng" algn="ctr">
              <a:solidFill>
                <a:schemeClr val="tx1"/>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3020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a:t>
            </a:r>
            <a:r>
              <a:rPr lang="en-US" b="1" i="1" u="sng" baseline="0"/>
              <a:t> of Tasks By Manager</a:t>
            </a:r>
          </a:p>
          <a:p>
            <a:pPr>
              <a:defRPr/>
            </a:pP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Pivot2!$B$4:$B$14</c:f>
              <c:numCache>
                <c:formatCode>General</c:formatCode>
                <c:ptCount val="10"/>
                <c:pt idx="0">
                  <c:v>719</c:v>
                </c:pt>
                <c:pt idx="1">
                  <c:v>235</c:v>
                </c:pt>
                <c:pt idx="2">
                  <c:v>373</c:v>
                </c:pt>
                <c:pt idx="3">
                  <c:v>292</c:v>
                </c:pt>
                <c:pt idx="4">
                  <c:v>1164</c:v>
                </c:pt>
                <c:pt idx="5">
                  <c:v>815</c:v>
                </c:pt>
                <c:pt idx="6">
                  <c:v>466</c:v>
                </c:pt>
                <c:pt idx="7">
                  <c:v>730</c:v>
                </c:pt>
                <c:pt idx="8">
                  <c:v>2190</c:v>
                </c:pt>
                <c:pt idx="9">
                  <c:v>276</c:v>
                </c:pt>
              </c:numCache>
            </c:numRef>
          </c:val>
          <c:extLst>
            <c:ext xmlns:c16="http://schemas.microsoft.com/office/drawing/2014/chart" uri="{C3380CC4-5D6E-409C-BE32-E72D297353CC}">
              <c16:uniqueId val="{00000000-D5B5-46CF-9B99-22B88A3EAB45}"/>
            </c:ext>
          </c:extLst>
        </c:ser>
        <c:dLbls>
          <c:showLegendKey val="0"/>
          <c:showVal val="1"/>
          <c:showCatName val="0"/>
          <c:showSerName val="0"/>
          <c:showPercent val="0"/>
          <c:showBubbleSize val="0"/>
        </c:dLbls>
        <c:gapWidth val="150"/>
        <c:shape val="box"/>
        <c:axId val="614522912"/>
        <c:axId val="614520032"/>
        <c:axId val="0"/>
      </c:bar3DChart>
      <c:catAx>
        <c:axId val="614522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4520032"/>
        <c:crosses val="autoZero"/>
        <c:auto val="1"/>
        <c:lblAlgn val="ctr"/>
        <c:lblOffset val="100"/>
        <c:noMultiLvlLbl val="0"/>
      </c:catAx>
      <c:valAx>
        <c:axId val="614520032"/>
        <c:scaling>
          <c:orientation val="minMax"/>
        </c:scaling>
        <c:delete val="1"/>
        <c:axPos val="b"/>
        <c:numFmt formatCode="General" sourceLinked="1"/>
        <c:majorTickMark val="none"/>
        <c:minorTickMark val="none"/>
        <c:tickLblPos val="nextTo"/>
        <c:crossAx val="6145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[Excel^MDashboard^M2^M-^MCopy.xlsx]Pivot3!PivotTable3</c:name>
    <c:fmtId val="5"/>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Total Unit Produced</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rgbClr val="FF0000"/>
            </a:solidFill>
            <a:ln>
              <a:noFill/>
            </a:ln>
            <a:effectLst/>
            <a:sp3d/>
          </c:spPr>
          <c:cat>
            <c:multiLvlStrRef>
              <c:f>Pivot3!$A$4:$A$19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B8A-4F40-8705-E473FC10E24E}"/>
            </c:ext>
          </c:extLst>
        </c:ser>
        <c:dLbls>
          <c:showLegendKey val="0"/>
          <c:showVal val="0"/>
          <c:showCatName val="0"/>
          <c:showSerName val="0"/>
          <c:showPercent val="0"/>
          <c:showBubbleSize val="0"/>
        </c:dLbls>
        <c:axId val="628069016"/>
        <c:axId val="628066496"/>
        <c:axId val="716722152"/>
      </c:line3DChart>
      <c:catAx>
        <c:axId val="628069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8066496"/>
        <c:crosses val="autoZero"/>
        <c:auto val="1"/>
        <c:lblAlgn val="ctr"/>
        <c:lblOffset val="100"/>
        <c:noMultiLvlLbl val="0"/>
      </c:catAx>
      <c:valAx>
        <c:axId val="62806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8069016"/>
        <c:crosses val="autoZero"/>
        <c:crossBetween val="between"/>
      </c:valAx>
      <c:serAx>
        <c:axId val="7167221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0664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[Excel^MDashboard^M2^M-^MCopy.xlsx]Pivot4!PivotTable4</c:name>
    <c:fmtId val="7"/>
  </c:pivotSource>
  <c:chart>
    <c:title>
      <c:tx>
        <c:rich>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r>
              <a:rPr lang="en-US" b="1" i="1" u="sng"/>
              <a:t>Average</a:t>
            </a:r>
            <a:r>
              <a:rPr lang="en-US" b="1" i="1" u="sng" baseline="0"/>
              <a:t> Production Cost by Product Type</a:t>
            </a:r>
            <a:endParaRPr lang="en-US" b="1" i="1" u="sng"/>
          </a:p>
        </c:rich>
      </c:tx>
      <c:layout>
        <c:manualLayout>
          <c:xMode val="edge"/>
          <c:yMode val="edge"/>
          <c:x val="0.29492172301991665"/>
          <c:y val="4.8646640119248595E-2"/>
        </c:manualLayout>
      </c:layout>
      <c:overlay val="0"/>
      <c:spPr>
        <a:noFill/>
        <a:ln>
          <a:noFill/>
        </a:ln>
        <a:effectLst/>
      </c:spPr>
      <c:txPr>
        <a:bodyPr rot="0" spcFirstLastPara="1" vertOverflow="ellipsis" vert="horz" wrap="square" anchor="ctr" anchorCtr="1"/>
        <a:lstStyle/>
        <a:p>
          <a:pPr lvl="0"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5E-4D41-90E3-5F146563D76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5E-4D41-90E3-5F146563D76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5E-4D41-90E3-5F146563D76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5E-4D41-90E3-5F146563D76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15E-4D41-90E3-5F146563D76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13</xdr:col>
      <xdr:colOff>7620</xdr:colOff>
      <xdr:row>24</xdr:row>
      <xdr:rowOff>7620</xdr:rowOff>
    </xdr:to>
    <xdr:graphicFrame macro="">
      <xdr:nvGraphicFramePr>
        <xdr:cNvPr id="3" name="Chart 2">
          <a:extLst>
            <a:ext uri="{FF2B5EF4-FFF2-40B4-BE49-F238E27FC236}">
              <a16:creationId xmlns:a16="http://schemas.microsoft.com/office/drawing/2014/main" id="{520AD12B-1741-C764-9DAD-18CC8C6FD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1</xdr:row>
      <xdr:rowOff>160020</xdr:rowOff>
    </xdr:from>
    <xdr:to>
      <xdr:col>15</xdr:col>
      <xdr:colOff>342900</xdr:colOff>
      <xdr:row>23</xdr:row>
      <xdr:rowOff>114300</xdr:rowOff>
    </xdr:to>
    <xdr:graphicFrame macro="">
      <xdr:nvGraphicFramePr>
        <xdr:cNvPr id="2" name="Chart 1">
          <a:extLst>
            <a:ext uri="{FF2B5EF4-FFF2-40B4-BE49-F238E27FC236}">
              <a16:creationId xmlns:a16="http://schemas.microsoft.com/office/drawing/2014/main" id="{C99B8DCD-CFD5-CF02-C4B1-8F13DA2D2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1</xdr:row>
      <xdr:rowOff>38100</xdr:rowOff>
    </xdr:from>
    <xdr:to>
      <xdr:col>14</xdr:col>
      <xdr:colOff>594360</xdr:colOff>
      <xdr:row>28</xdr:row>
      <xdr:rowOff>83820</xdr:rowOff>
    </xdr:to>
    <xdr:graphicFrame macro="">
      <xdr:nvGraphicFramePr>
        <xdr:cNvPr id="2" name="Chart 1">
          <a:extLst>
            <a:ext uri="{FF2B5EF4-FFF2-40B4-BE49-F238E27FC236}">
              <a16:creationId xmlns:a16="http://schemas.microsoft.com/office/drawing/2014/main" id="{60AB0453-CFDE-13A9-F6CB-9C7F41E07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1</xdr:row>
      <xdr:rowOff>15240</xdr:rowOff>
    </xdr:from>
    <xdr:to>
      <xdr:col>13</xdr:col>
      <xdr:colOff>175260</xdr:colOff>
      <xdr:row>24</xdr:row>
      <xdr:rowOff>137160</xdr:rowOff>
    </xdr:to>
    <xdr:graphicFrame macro="">
      <xdr:nvGraphicFramePr>
        <xdr:cNvPr id="2" name="Chart 1">
          <a:extLst>
            <a:ext uri="{FF2B5EF4-FFF2-40B4-BE49-F238E27FC236}">
              <a16:creationId xmlns:a16="http://schemas.microsoft.com/office/drawing/2014/main" id="{FBCDCEEF-E360-333B-53E6-95E283FAC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387048</xdr:colOff>
      <xdr:row>13</xdr:row>
      <xdr:rowOff>114300</xdr:rowOff>
    </xdr:from>
    <xdr:to>
      <xdr:col>21</xdr:col>
      <xdr:colOff>447524</xdr:colOff>
      <xdr:row>27</xdr:row>
      <xdr:rowOff>106680</xdr:rowOff>
    </xdr:to>
    <xdr:graphicFrame macro="">
      <xdr:nvGraphicFramePr>
        <xdr:cNvPr id="2" name="Chart 1">
          <a:extLst>
            <a:ext uri="{FF2B5EF4-FFF2-40B4-BE49-F238E27FC236}">
              <a16:creationId xmlns:a16="http://schemas.microsoft.com/office/drawing/2014/main" id="{B39E233A-9F10-42FB-B2B9-B1B1BE8C2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548640</xdr:colOff>
      <xdr:row>13</xdr:row>
      <xdr:rowOff>114300</xdr:rowOff>
    </xdr:from>
    <xdr:to>
      <xdr:col>10</xdr:col>
      <xdr:colOff>157238</xdr:colOff>
      <xdr:row>28</xdr:row>
      <xdr:rowOff>7620</xdr:rowOff>
    </xdr:to>
    <xdr:graphicFrame macro="">
      <xdr:nvGraphicFramePr>
        <xdr:cNvPr id="3" name="Chart 2">
          <a:extLst>
            <a:ext uri="{FF2B5EF4-FFF2-40B4-BE49-F238E27FC236}">
              <a16:creationId xmlns:a16="http://schemas.microsoft.com/office/drawing/2014/main" id="{89946782-CE5B-42B8-9EEB-C5625FACD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563880</xdr:colOff>
      <xdr:row>28</xdr:row>
      <xdr:rowOff>175260</xdr:rowOff>
    </xdr:from>
    <xdr:to>
      <xdr:col>10</xdr:col>
      <xdr:colOff>278191</xdr:colOff>
      <xdr:row>46</xdr:row>
      <xdr:rowOff>145143</xdr:rowOff>
    </xdr:to>
    <xdr:graphicFrame macro="">
      <xdr:nvGraphicFramePr>
        <xdr:cNvPr id="4" name="Chart 3">
          <a:extLst>
            <a:ext uri="{FF2B5EF4-FFF2-40B4-BE49-F238E27FC236}">
              <a16:creationId xmlns:a16="http://schemas.microsoft.com/office/drawing/2014/main" id="{AFD97B8A-8D13-4C13-83C1-032E2A71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533400</xdr:colOff>
      <xdr:row>28</xdr:row>
      <xdr:rowOff>144779</xdr:rowOff>
    </xdr:from>
    <xdr:to>
      <xdr:col>21</xdr:col>
      <xdr:colOff>423333</xdr:colOff>
      <xdr:row>46</xdr:row>
      <xdr:rowOff>24190</xdr:rowOff>
    </xdr:to>
    <xdr:graphicFrame macro="">
      <xdr:nvGraphicFramePr>
        <xdr:cNvPr id="5" name="Chart 4">
          <a:extLst>
            <a:ext uri="{FF2B5EF4-FFF2-40B4-BE49-F238E27FC236}">
              <a16:creationId xmlns:a16="http://schemas.microsoft.com/office/drawing/2014/main" id="{E6C3A831-BF78-46E1-BD1E-18DF6B1F8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594360</xdr:colOff>
      <xdr:row>4</xdr:row>
      <xdr:rowOff>129541</xdr:rowOff>
    </xdr:from>
    <xdr:to>
      <xdr:col>3</xdr:col>
      <xdr:colOff>594360</xdr:colOff>
      <xdr:row>12</xdr:row>
      <xdr:rowOff>106681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57121FC-2AB8-FA4F-4A88-44F251061A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4360" y="855255"/>
              <a:ext cx="1814286" cy="1428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213360</xdr:colOff>
      <xdr:row>4</xdr:row>
      <xdr:rowOff>167641</xdr:rowOff>
    </xdr:from>
    <xdr:to>
      <xdr:col>7</xdr:col>
      <xdr:colOff>213360</xdr:colOff>
      <xdr:row>12</xdr:row>
      <xdr:rowOff>60961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1DB2BA52-93C5-A5FD-EF93-5415E5E3E4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32408" y="893355"/>
              <a:ext cx="1814285" cy="134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441960</xdr:colOff>
      <xdr:row>5</xdr:row>
      <xdr:rowOff>1</xdr:rowOff>
    </xdr:from>
    <xdr:to>
      <xdr:col>10</xdr:col>
      <xdr:colOff>441960</xdr:colOff>
      <xdr:row>12</xdr:row>
      <xdr:rowOff>68581</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F01AC7D1-6E51-68C8-9E4B-DECC9A15F117}"/>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675293" y="907144"/>
              <a:ext cx="1814286" cy="1338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5</xdr:row>
      <xdr:rowOff>22861</xdr:rowOff>
    </xdr:from>
    <xdr:to>
      <xdr:col>14</xdr:col>
      <xdr:colOff>15240</xdr:colOff>
      <xdr:row>12</xdr:row>
      <xdr:rowOff>106681</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4AFD7325-7852-8C8D-8514-F5CAC0D5D014}"/>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667621" y="930004"/>
              <a:ext cx="1814286" cy="1353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97.410459953702" createdVersion="8" refreshedVersion="8" minRefreshableVersion="3" recordCount="120" xr:uid="{B76C57F0-8AEC-4120-979F-F000022509AE}">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530278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BB8227-6BBD-48EC-B9FA-89D73F92419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5"/>
  </dataFields>
  <formats count="1">
    <format dxfId="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6EEBD-ACF8-401C-A462-16D9E8CE034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 fld="0" baseField="3"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FC942-8BE9-4D1A-BDD7-4A7E72EFEBA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63D2F-7F59-48F4-B247-F71B2786FC3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6">
    <chartFormat chart="2"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CFED5E-3D2B-43DD-8EDD-7876C8D231F4}" sourceName="Region">
  <pivotTables>
    <pivotTable tabId="2" name="PivotTable1"/>
  </pivotTables>
  <data>
    <tabular pivotCacheId="1530278193">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C85E70-B9F8-455C-B480-89CCCBDA3707}" sourceName="Gender">
  <pivotTables>
    <pivotTable tabId="2" name="PivotTable1"/>
    <pivotTable tabId="3" name="PivotTable2"/>
    <pivotTable tabId="4" name="PivotTable3"/>
    <pivotTable tabId="5" name="PivotTable4"/>
  </pivotTables>
  <data>
    <tabular pivotCacheId="15302781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93DC5897-E441-4F81-8189-243ED8A2E65E}" sourceName="Age Groups">
  <pivotTables>
    <pivotTable tabId="2" name="PivotTable1"/>
    <pivotTable tabId="3" name="PivotTable2"/>
    <pivotTable tabId="4" name="PivotTable3"/>
    <pivotTable tabId="5" name="PivotTable4"/>
  </pivotTables>
  <data>
    <tabular pivotCacheId="15302781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2213319-DE17-484C-8F37-E87E8FF398FF}" sourceName="Quarters (ProductionDate)">
  <pivotTables>
    <pivotTable tabId="2" name="PivotTable1"/>
  </pivotTables>
  <data>
    <tabular pivotCacheId="153027819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820052-E117-429B-B891-762921A395A4}" cache="Slicer_Region" caption="Region" rowHeight="234950"/>
  <slicer name="Gender" xr10:uid="{5B768836-705B-4BD6-9020-ECFE477A69D3}" cache="Slicer_Gender" caption="Gender" rowHeight="234950"/>
  <slicer name="Age Groups" xr10:uid="{D2E2CECA-10B6-414C-A457-25F07119DE15}" cache="Slicer_Age_Groups" caption="Age Groups" rowHeight="234950"/>
  <slicer name="Quarters (ProductionDate)" xr10:uid="{5B99CE17-C102-48E9-9BFC-5ECA0BC91E6D}"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017D-3AC0-485B-AF9F-966A68DD5C1A}">
  <dimension ref="A3:B8"/>
  <sheetViews>
    <sheetView tabSelected="1" workbookViewId="0">
      <selection activeCell="P11" sqref="P11"/>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6">
        <v>1152805</v>
      </c>
    </row>
    <row r="5" spans="1:2" x14ac:dyDescent="0.3">
      <c r="A5" s="4" t="s">
        <v>23</v>
      </c>
      <c r="B5" s="6">
        <v>604575</v>
      </c>
    </row>
    <row r="6" spans="1:2" x14ac:dyDescent="0.3">
      <c r="A6" s="4" t="s">
        <v>14</v>
      </c>
      <c r="B6" s="6">
        <v>703282</v>
      </c>
    </row>
    <row r="7" spans="1:2" x14ac:dyDescent="0.3">
      <c r="A7" s="4" t="s">
        <v>17</v>
      </c>
      <c r="B7" s="6">
        <v>910416</v>
      </c>
    </row>
    <row r="8" spans="1:2" x14ac:dyDescent="0.3">
      <c r="A8" s="4" t="s">
        <v>33</v>
      </c>
      <c r="B8" s="6">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15A5-E60C-4763-AD82-275CE763C064}">
  <dimension ref="A3:B14"/>
  <sheetViews>
    <sheetView workbookViewId="0">
      <selection activeCell="B3" sqref="B3"/>
    </sheetView>
  </sheetViews>
  <sheetFormatPr defaultRowHeight="14.4" x14ac:dyDescent="0.3"/>
  <cols>
    <col min="1" max="1" width="12.5546875" bestFit="1" customWidth="1"/>
    <col min="2" max="2" width="14.6640625" bestFit="1" customWidth="1"/>
  </cols>
  <sheetData>
    <row r="3" spans="1:2" x14ac:dyDescent="0.3">
      <c r="A3" s="3" t="s">
        <v>32</v>
      </c>
      <c r="B3" t="s">
        <v>35</v>
      </c>
    </row>
    <row r="4" spans="1:2" x14ac:dyDescent="0.3">
      <c r="A4" s="4" t="s">
        <v>21</v>
      </c>
      <c r="B4" s="5">
        <v>719</v>
      </c>
    </row>
    <row r="5" spans="1:2" x14ac:dyDescent="0.3">
      <c r="A5" s="4" t="s">
        <v>26</v>
      </c>
      <c r="B5" s="5">
        <v>235</v>
      </c>
    </row>
    <row r="6" spans="1:2" x14ac:dyDescent="0.3">
      <c r="A6" s="4" t="s">
        <v>22</v>
      </c>
      <c r="B6" s="5">
        <v>373</v>
      </c>
    </row>
    <row r="7" spans="1:2" x14ac:dyDescent="0.3">
      <c r="A7" s="4" t="s">
        <v>25</v>
      </c>
      <c r="B7" s="5">
        <v>292</v>
      </c>
    </row>
    <row r="8" spans="1:2" x14ac:dyDescent="0.3">
      <c r="A8" s="4" t="s">
        <v>20</v>
      </c>
      <c r="B8" s="5">
        <v>1164</v>
      </c>
    </row>
    <row r="9" spans="1:2" x14ac:dyDescent="0.3">
      <c r="A9" s="4" t="s">
        <v>9</v>
      </c>
      <c r="B9" s="5">
        <v>815</v>
      </c>
    </row>
    <row r="10" spans="1:2" x14ac:dyDescent="0.3">
      <c r="A10" s="4" t="s">
        <v>13</v>
      </c>
      <c r="B10" s="5">
        <v>466</v>
      </c>
    </row>
    <row r="11" spans="1:2" x14ac:dyDescent="0.3">
      <c r="A11" s="4" t="s">
        <v>19</v>
      </c>
      <c r="B11" s="5">
        <v>730</v>
      </c>
    </row>
    <row r="12" spans="1:2" x14ac:dyDescent="0.3">
      <c r="A12" s="4" t="s">
        <v>24</v>
      </c>
      <c r="B12" s="5">
        <v>2190</v>
      </c>
    </row>
    <row r="13" spans="1:2" x14ac:dyDescent="0.3">
      <c r="A13" s="4" t="s">
        <v>16</v>
      </c>
      <c r="B13" s="5">
        <v>276</v>
      </c>
    </row>
    <row r="14" spans="1:2" x14ac:dyDescent="0.3">
      <c r="A14" s="4" t="s">
        <v>33</v>
      </c>
      <c r="B14" s="5">
        <v>7260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E7A2-C634-4267-9A20-80B93EDC4A22}">
  <dimension ref="A3:B19"/>
  <sheetViews>
    <sheetView topLeftCell="A2" workbookViewId="0">
      <selection activeCell="P16" sqref="P16"/>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5">
        <v>11171</v>
      </c>
    </row>
    <row r="5" spans="1:2" x14ac:dyDescent="0.3">
      <c r="A5" s="7" t="s">
        <v>39</v>
      </c>
      <c r="B5" s="5">
        <v>771</v>
      </c>
    </row>
    <row r="6" spans="1:2" x14ac:dyDescent="0.3">
      <c r="A6" s="7" t="s">
        <v>40</v>
      </c>
      <c r="B6" s="5">
        <v>3103</v>
      </c>
    </row>
    <row r="7" spans="1:2" x14ac:dyDescent="0.3">
      <c r="A7" s="7" t="s">
        <v>41</v>
      </c>
      <c r="B7" s="5">
        <v>4803</v>
      </c>
    </row>
    <row r="8" spans="1:2" x14ac:dyDescent="0.3">
      <c r="A8" s="7" t="s">
        <v>42</v>
      </c>
      <c r="B8" s="5">
        <v>2494</v>
      </c>
    </row>
    <row r="9" spans="1:2" x14ac:dyDescent="0.3">
      <c r="A9" s="4" t="s">
        <v>37</v>
      </c>
      <c r="B9" s="5">
        <v>23556</v>
      </c>
    </row>
    <row r="10" spans="1:2" x14ac:dyDescent="0.3">
      <c r="A10" s="7" t="s">
        <v>43</v>
      </c>
      <c r="B10" s="5">
        <v>3026</v>
      </c>
    </row>
    <row r="11" spans="1:2" x14ac:dyDescent="0.3">
      <c r="A11" s="7" t="s">
        <v>44</v>
      </c>
      <c r="B11" s="5">
        <v>4127</v>
      </c>
    </row>
    <row r="12" spans="1:2" x14ac:dyDescent="0.3">
      <c r="A12" s="7" t="s">
        <v>45</v>
      </c>
      <c r="B12" s="5">
        <v>3875</v>
      </c>
    </row>
    <row r="13" spans="1:2" x14ac:dyDescent="0.3">
      <c r="A13" s="7" t="s">
        <v>46</v>
      </c>
      <c r="B13" s="5">
        <v>1528</v>
      </c>
    </row>
    <row r="14" spans="1:2" x14ac:dyDescent="0.3">
      <c r="A14" s="7" t="s">
        <v>47</v>
      </c>
      <c r="B14" s="5">
        <v>1684</v>
      </c>
    </row>
    <row r="15" spans="1:2" x14ac:dyDescent="0.3">
      <c r="A15" s="7" t="s">
        <v>48</v>
      </c>
      <c r="B15" s="5">
        <v>3537</v>
      </c>
    </row>
    <row r="16" spans="1:2" x14ac:dyDescent="0.3">
      <c r="A16" s="7" t="s">
        <v>49</v>
      </c>
      <c r="B16" s="5">
        <v>1536</v>
      </c>
    </row>
    <row r="17" spans="1:2" x14ac:dyDescent="0.3">
      <c r="A17" s="7" t="s">
        <v>50</v>
      </c>
      <c r="B17" s="5">
        <v>2864</v>
      </c>
    </row>
    <row r="18" spans="1:2" x14ac:dyDescent="0.3">
      <c r="A18" s="7" t="s">
        <v>39</v>
      </c>
      <c r="B18" s="5">
        <v>1379</v>
      </c>
    </row>
    <row r="19" spans="1:2" x14ac:dyDescent="0.3">
      <c r="A19" s="4" t="s">
        <v>33</v>
      </c>
      <c r="B19" s="5">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D497-4678-4F3D-8DC9-76EC0B65E124}">
  <dimension ref="A3:B8"/>
  <sheetViews>
    <sheetView workbookViewId="0">
      <selection activeCell="D30" sqref="D30"/>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5A31-CE40-475A-B861-8AB21FAD5845}">
  <dimension ref="A1:V4"/>
  <sheetViews>
    <sheetView showGridLines="0" zoomScale="63" zoomScaleNormal="63" workbookViewId="0">
      <selection activeCell="X27" sqref="X27"/>
    </sheetView>
  </sheetViews>
  <sheetFormatPr defaultRowHeight="14.4" x14ac:dyDescent="0.3"/>
  <sheetData>
    <row r="1" spans="1:22" x14ac:dyDescent="0.3">
      <c r="A1" s="9" t="s">
        <v>52</v>
      </c>
      <c r="B1" s="8"/>
      <c r="C1" s="8"/>
      <c r="D1" s="8"/>
      <c r="E1" s="8"/>
      <c r="F1" s="8"/>
      <c r="G1" s="8"/>
      <c r="H1" s="8"/>
      <c r="I1" s="8"/>
      <c r="J1" s="8"/>
      <c r="K1" s="8"/>
      <c r="L1" s="8"/>
      <c r="M1" s="8"/>
      <c r="N1" s="8"/>
      <c r="O1" s="8"/>
      <c r="P1" s="8"/>
      <c r="Q1" s="8"/>
      <c r="R1" s="8"/>
      <c r="S1" s="8"/>
      <c r="T1" s="8"/>
      <c r="U1" s="8"/>
      <c r="V1" s="8"/>
    </row>
    <row r="2" spans="1:22" x14ac:dyDescent="0.3">
      <c r="A2" s="8"/>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8"/>
      <c r="B4" s="8"/>
      <c r="C4" s="8"/>
      <c r="D4" s="8"/>
      <c r="E4" s="8"/>
      <c r="F4" s="8"/>
      <c r="G4" s="8"/>
      <c r="H4" s="8"/>
      <c r="I4" s="8"/>
      <c r="J4" s="8"/>
      <c r="K4" s="8"/>
      <c r="L4" s="8"/>
      <c r="M4" s="8"/>
      <c r="N4" s="8"/>
      <c r="O4" s="8"/>
      <c r="P4" s="8"/>
      <c r="Q4" s="8"/>
      <c r="R4" s="8"/>
      <c r="S4" s="8"/>
      <c r="T4" s="8"/>
      <c r="U4" s="8"/>
      <c r="V4" s="8"/>
    </row>
  </sheetData>
  <mergeCells count="1">
    <mergeCell ref="A1:V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25" workbookViewId="0"/>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Manojkumar S</cp:lastModifiedBy>
  <dcterms:created xsi:type="dcterms:W3CDTF">2015-06-05T18:17:20Z</dcterms:created>
  <dcterms:modified xsi:type="dcterms:W3CDTF">2025-12-06T05:36:57Z</dcterms:modified>
</cp:coreProperties>
</file>